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630" activeTab="1"/>
  </bookViews>
  <sheets>
    <sheet name="ITR-FATP" sheetId="2" r:id="rId1"/>
    <sheet name="MI" sheetId="3" r:id="rId2"/>
  </sheets>
  <calcPr calcId="144525"/>
</workbook>
</file>

<file path=xl/sharedStrings.xml><?xml version="1.0" encoding="utf-8"?>
<sst xmlns="http://schemas.openxmlformats.org/spreadsheetml/2006/main" count="224" uniqueCount="107">
  <si>
    <t>Skill Level Reference Sheet</t>
  </si>
  <si>
    <t>SKILL MATRIX CHART</t>
  </si>
  <si>
    <t>Doc. No. :01-HRD40-F-04</t>
  </si>
  <si>
    <t>1. Beginner - Can work under Supervision</t>
  </si>
  <si>
    <t>Issue No. / Date: 01 / 20.04.2024</t>
  </si>
  <si>
    <t>Virendra</t>
  </si>
  <si>
    <t>2. Learner - Can work independently</t>
  </si>
  <si>
    <t>3. Advanced - Can work and troubleshoot</t>
  </si>
  <si>
    <t>Rev. / Date:02/27.06.2025</t>
  </si>
  <si>
    <t>20.04.2021</t>
  </si>
  <si>
    <t>4. Mentor - Well trained and can train others</t>
  </si>
  <si>
    <t xml:space="preserve">Operator List </t>
  </si>
  <si>
    <t>Rate 1-4 as per skill</t>
  </si>
  <si>
    <t>S.No.</t>
  </si>
  <si>
    <t>E.
 Code</t>
  </si>
  <si>
    <t>Name</t>
  </si>
  <si>
    <t>Desig.</t>
  </si>
  <si>
    <t>Area / Department</t>
  </si>
  <si>
    <t>5S &amp; 3R</t>
  </si>
  <si>
    <t>WI Awarness &amp; SSI</t>
  </si>
  <si>
    <t>OJT</t>
  </si>
  <si>
    <t>Work Safety</t>
  </si>
  <si>
    <t>ESD Awarness</t>
  </si>
  <si>
    <t>CTP/ CTQ</t>
  </si>
  <si>
    <t>MES Awarness</t>
  </si>
  <si>
    <t>Defect Awarness</t>
  </si>
  <si>
    <t>Improvemnet Ideas</t>
  </si>
  <si>
    <t>Material Management &amp; handling</t>
  </si>
  <si>
    <t>Total Skill Score 
(40)</t>
  </si>
  <si>
    <t>Shalu</t>
  </si>
  <si>
    <t>Line leader</t>
  </si>
  <si>
    <t>PRODUCTION</t>
  </si>
  <si>
    <t>Murari</t>
  </si>
  <si>
    <t>Operator</t>
  </si>
  <si>
    <t>kranti</t>
  </si>
  <si>
    <t>AUU1248</t>
  </si>
  <si>
    <t>Rajkumar </t>
  </si>
  <si>
    <t>PE0557</t>
  </si>
  <si>
    <t>Arjun Verma</t>
  </si>
  <si>
    <t>INT02439</t>
  </si>
  <si>
    <t>Mausam devi </t>
  </si>
  <si>
    <t>PE1020</t>
  </si>
  <si>
    <t>Shikha</t>
  </si>
  <si>
    <t>PE0981</t>
  </si>
  <si>
    <t>Monika </t>
  </si>
  <si>
    <t>PE 0336</t>
  </si>
  <si>
    <t>Jay prakash</t>
  </si>
  <si>
    <t>Renu Verma</t>
  </si>
  <si>
    <t>PS958</t>
  </si>
  <si>
    <t>shama</t>
  </si>
  <si>
    <t>FTE056</t>
  </si>
  <si>
    <t>Shaba</t>
  </si>
  <si>
    <t>PE0438</t>
  </si>
  <si>
    <t>Prashant</t>
  </si>
  <si>
    <t>MSI2288</t>
  </si>
  <si>
    <t>Banti</t>
  </si>
  <si>
    <t>LWS0018</t>
  </si>
  <si>
    <t>Rashmi</t>
  </si>
  <si>
    <t>Gungan</t>
  </si>
  <si>
    <t>PE0732 </t>
  </si>
  <si>
    <t>Nagma</t>
  </si>
  <si>
    <t>ILH2200</t>
  </si>
  <si>
    <t>Sarita</t>
  </si>
  <si>
    <t>PE0794</t>
  </si>
  <si>
    <t>Rahul</t>
  </si>
  <si>
    <t>Rahul Yadav </t>
  </si>
  <si>
    <t>ILOM2851</t>
  </si>
  <si>
    <t>Saroj </t>
  </si>
  <si>
    <t>PE1272</t>
  </si>
  <si>
    <t>Neelam</t>
  </si>
  <si>
    <t>GRC0567</t>
  </si>
  <si>
    <t>ILH22000</t>
  </si>
  <si>
    <t>Me0512</t>
  </si>
  <si>
    <t>Anjali</t>
  </si>
  <si>
    <t>ILH22518</t>
  </si>
  <si>
    <t>Nisha</t>
  </si>
  <si>
    <t>Dipti</t>
  </si>
  <si>
    <t>FTE038</t>
  </si>
  <si>
    <t>Anand</t>
  </si>
  <si>
    <t>PS1532</t>
  </si>
  <si>
    <t>Rama</t>
  </si>
  <si>
    <t>ILH22616</t>
  </si>
  <si>
    <t>Rajesh</t>
  </si>
  <si>
    <t>ILH21380</t>
  </si>
  <si>
    <t>Gulshan</t>
  </si>
  <si>
    <t>MSI1281</t>
  </si>
  <si>
    <t>Sarvesh</t>
  </si>
  <si>
    <t>PS573</t>
  </si>
  <si>
    <t>Arti</t>
  </si>
  <si>
    <t>ILW5248</t>
  </si>
  <si>
    <t>ROTASH</t>
  </si>
  <si>
    <t>Anita</t>
  </si>
  <si>
    <t>ILOM2686</t>
  </si>
  <si>
    <t>Rinki</t>
  </si>
  <si>
    <t>FTE152</t>
  </si>
  <si>
    <t>Roshni</t>
  </si>
  <si>
    <t>ILW5244</t>
  </si>
  <si>
    <t>Kuldeep</t>
  </si>
  <si>
    <t>PS1530</t>
  </si>
  <si>
    <t>Manjeet</t>
  </si>
  <si>
    <t>Raghvendra</t>
  </si>
  <si>
    <t>ILH20412</t>
  </si>
  <si>
    <t>Rani</t>
  </si>
  <si>
    <t>PE0155</t>
  </si>
  <si>
    <t>Sunny</t>
  </si>
  <si>
    <t>ILOM3246</t>
  </si>
  <si>
    <t>Neerav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</si>
</sst>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  <numFmt numFmtId="180" formatCode="[$-409]d/mmm/yy;@"/>
  </numFmts>
  <fonts count="33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i/>
      <sz val="12"/>
      <color theme="1"/>
      <name val="Cambria"/>
      <charset val="134"/>
    </font>
    <font>
      <sz val="9"/>
      <color theme="1"/>
      <name val="Cambria"/>
      <charset val="134"/>
    </font>
    <font>
      <b/>
      <u/>
      <sz val="36"/>
      <color rgb="FF002060"/>
      <name val="Cambria"/>
      <charset val="134"/>
    </font>
    <font>
      <sz val="12"/>
      <color theme="1"/>
      <name val="Cambria"/>
      <charset val="134"/>
    </font>
    <font>
      <b/>
      <sz val="14"/>
      <name val="Cambria"/>
      <charset val="134"/>
    </font>
    <font>
      <b/>
      <i/>
      <sz val="14"/>
      <name val="Cambria"/>
      <charset val="134"/>
    </font>
    <font>
      <sz val="8"/>
      <color theme="7" tint="0.79985961485641"/>
      <name val="Calibri"/>
      <charset val="134"/>
      <scheme val="minor"/>
    </font>
    <font>
      <sz val="8"/>
      <name val="Arial"/>
      <charset val="134"/>
    </font>
    <font>
      <sz val="8"/>
      <color theme="1"/>
      <name val="Arial"/>
      <charset val="134"/>
    </font>
    <font>
      <b/>
      <sz val="8"/>
      <color theme="7" tint="0.79985961485641"/>
      <name val="Calibri"/>
      <charset val="134"/>
      <scheme val="minor"/>
    </font>
    <font>
      <sz val="8"/>
      <color theme="2"/>
      <name val="Arial"/>
      <charset val="134"/>
    </font>
    <font>
      <sz val="8"/>
      <color rgb="FF000000"/>
      <name val="Arial"/>
      <charset val="134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1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7" borderId="26" applyNumberFormat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0" fillId="8" borderId="27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19" borderId="31" applyNumberForma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3" fillId="12" borderId="29" applyNumberForma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7" fillId="12" borderId="31" applyNumberFormat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4" fillId="3" borderId="0" xfId="0" applyFont="1" applyFill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3" borderId="8" xfId="0" applyFont="1" applyFill="1" applyBorder="1" applyAlignment="1">
      <alignment horizontal="center" vertical="center"/>
    </xf>
    <xf numFmtId="180" fontId="6" fillId="5" borderId="9" xfId="0" applyNumberFormat="1" applyFont="1" applyFill="1" applyBorder="1" applyAlignment="1">
      <alignment horizontal="center" vertical="center"/>
    </xf>
    <xf numFmtId="180" fontId="6" fillId="5" borderId="8" xfId="0" applyNumberFormat="1" applyFont="1" applyFill="1" applyBorder="1" applyAlignment="1">
      <alignment horizontal="center" vertical="center"/>
    </xf>
    <xf numFmtId="180" fontId="6" fillId="5" borderId="10" xfId="0" applyNumberFormat="1" applyFont="1" applyFill="1" applyBorder="1" applyAlignment="1">
      <alignment horizontal="center" vertical="center"/>
    </xf>
    <xf numFmtId="180" fontId="7" fillId="0" borderId="11" xfId="0" applyNumberFormat="1" applyFont="1" applyBorder="1" applyAlignment="1">
      <alignment horizontal="center" vertical="center"/>
    </xf>
    <xf numFmtId="180" fontId="7" fillId="0" borderId="3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/>
    </xf>
    <xf numFmtId="180" fontId="8" fillId="6" borderId="6" xfId="0" applyNumberFormat="1" applyFont="1" applyFill="1" applyBorder="1" applyAlignment="1">
      <alignment horizontal="center" vertical="center"/>
    </xf>
    <xf numFmtId="180" fontId="8" fillId="6" borderId="6" xfId="0" applyNumberFormat="1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4" fillId="3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4" fillId="3" borderId="22" xfId="0" applyFont="1" applyFill="1" applyBorder="1" applyAlignment="1">
      <alignment horizontal="center" vertical="center"/>
    </xf>
    <xf numFmtId="180" fontId="7" fillId="0" borderId="23" xfId="0" applyNumberFormat="1" applyFont="1" applyBorder="1" applyAlignment="1">
      <alignment horizontal="center" vertical="center"/>
    </xf>
    <xf numFmtId="180" fontId="11" fillId="6" borderId="6" xfId="0" applyNumberFormat="1" applyFont="1" applyFill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37855</xdr:colOff>
      <xdr:row>1</xdr:row>
      <xdr:rowOff>155818</xdr:rowOff>
    </xdr:from>
    <xdr:to>
      <xdr:col>3</xdr:col>
      <xdr:colOff>742950</xdr:colOff>
      <xdr:row>3</xdr:row>
      <xdr:rowOff>122671</xdr:rowOff>
    </xdr:to>
    <xdr:pic>
      <xdr:nvPicPr>
        <xdr:cNvPr id="3" name="Picture 1" descr="ILJIN Electronics – Precision Electronics Manufacturing Services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04390" y="336550"/>
          <a:ext cx="705485" cy="424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37855</xdr:colOff>
      <xdr:row>1</xdr:row>
      <xdr:rowOff>155818</xdr:rowOff>
    </xdr:from>
    <xdr:to>
      <xdr:col>3</xdr:col>
      <xdr:colOff>742950</xdr:colOff>
      <xdr:row>3</xdr:row>
      <xdr:rowOff>122671</xdr:rowOff>
    </xdr:to>
    <xdr:pic>
      <xdr:nvPicPr>
        <xdr:cNvPr id="2" name="Picture 1" descr="ILJIN Electronics – Precision Electronics Manufacturing Services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04390" y="336550"/>
          <a:ext cx="705485" cy="424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view="pageBreakPreview" zoomScaleNormal="100" workbookViewId="0">
      <selection activeCell="E17" sqref="E17"/>
    </sheetView>
  </sheetViews>
  <sheetFormatPr defaultColWidth="9" defaultRowHeight="15"/>
  <cols>
    <col min="1" max="1" width="4.42857142857143" customWidth="1"/>
    <col min="2" max="2" width="12.4285714285714" customWidth="1"/>
    <col min="3" max="3" width="14.1428571428571" customWidth="1"/>
    <col min="4" max="4" width="11.7142857142857" customWidth="1"/>
    <col min="5" max="5" width="11" customWidth="1"/>
    <col min="6" max="6" width="8.42857142857143" customWidth="1"/>
    <col min="7" max="7" width="9.85714285714286" customWidth="1"/>
    <col min="8" max="8" width="8.57142857142857" customWidth="1"/>
    <col min="9" max="9" width="8.85714285714286" customWidth="1"/>
    <col min="10" max="10" width="9.28571428571429" customWidth="1"/>
    <col min="11" max="12" width="10" customWidth="1"/>
    <col min="13" max="13" width="10.2857142857143" customWidth="1"/>
    <col min="14" max="14" width="10.1428571428571" customWidth="1"/>
    <col min="15" max="15" width="11.8571428571429" customWidth="1"/>
    <col min="16" max="16" width="12.1428571428571" customWidth="1"/>
  </cols>
  <sheetData>
    <row r="1" s="1" customFormat="1" ht="14.25" customHeight="1" spans="1:16">
      <c r="A1" s="2" t="s">
        <v>0</v>
      </c>
      <c r="B1" s="3"/>
      <c r="C1" s="3"/>
      <c r="D1" s="4"/>
      <c r="E1" s="5" t="s">
        <v>1</v>
      </c>
      <c r="F1" s="5"/>
      <c r="G1" s="5"/>
      <c r="H1" s="5"/>
      <c r="I1" s="5"/>
      <c r="J1" s="5"/>
      <c r="K1" s="5"/>
      <c r="L1" s="5"/>
      <c r="M1" s="26"/>
      <c r="N1" s="27" t="s">
        <v>2</v>
      </c>
      <c r="O1" s="28"/>
      <c r="P1" s="29"/>
    </row>
    <row r="2" s="1" customFormat="1" ht="18" customHeight="1" spans="1:16">
      <c r="A2" s="6"/>
      <c r="B2" s="6"/>
      <c r="C2" s="6"/>
      <c r="D2" s="7"/>
      <c r="E2" s="8"/>
      <c r="F2" s="8"/>
      <c r="G2" s="8"/>
      <c r="H2" s="8"/>
      <c r="I2" s="8"/>
      <c r="J2" s="8"/>
      <c r="K2" s="8"/>
      <c r="L2" s="8"/>
      <c r="M2" s="30"/>
      <c r="N2" s="31"/>
      <c r="O2" s="32"/>
      <c r="P2" s="33"/>
    </row>
    <row r="3" s="1" customFormat="1" ht="18" customHeight="1" spans="1:16">
      <c r="A3" s="9">
        <v>1</v>
      </c>
      <c r="B3" s="10" t="s">
        <v>3</v>
      </c>
      <c r="C3" s="10"/>
      <c r="D3" s="11"/>
      <c r="E3" s="8"/>
      <c r="F3" s="8"/>
      <c r="G3" s="8"/>
      <c r="H3" s="8"/>
      <c r="I3" s="8"/>
      <c r="J3" s="8"/>
      <c r="K3" s="8"/>
      <c r="L3" s="8"/>
      <c r="M3" s="30"/>
      <c r="N3" s="34" t="s">
        <v>4</v>
      </c>
      <c r="O3" s="35"/>
      <c r="P3" s="36" t="s">
        <v>5</v>
      </c>
    </row>
    <row r="4" s="1" customFormat="1" ht="18" customHeight="1" spans="1:16">
      <c r="A4" s="9">
        <v>2</v>
      </c>
      <c r="B4" s="10" t="s">
        <v>6</v>
      </c>
      <c r="C4" s="10"/>
      <c r="D4" s="11"/>
      <c r="E4" s="8"/>
      <c r="F4" s="8"/>
      <c r="G4" s="8"/>
      <c r="H4" s="8"/>
      <c r="I4" s="8"/>
      <c r="J4" s="8"/>
      <c r="K4" s="8"/>
      <c r="L4" s="8"/>
      <c r="M4" s="30"/>
      <c r="N4" s="31"/>
      <c r="O4" s="32"/>
      <c r="P4" s="33"/>
    </row>
    <row r="5" s="1" customFormat="1" ht="18" customHeight="1" spans="1:16">
      <c r="A5" s="9">
        <v>3</v>
      </c>
      <c r="B5" s="10" t="s">
        <v>7</v>
      </c>
      <c r="C5" s="10"/>
      <c r="D5" s="11"/>
      <c r="E5" s="8"/>
      <c r="F5" s="8"/>
      <c r="G5" s="8"/>
      <c r="H5" s="8"/>
      <c r="I5" s="8"/>
      <c r="J5" s="8"/>
      <c r="K5" s="8"/>
      <c r="L5" s="8"/>
      <c r="M5" s="30"/>
      <c r="N5" s="34" t="s">
        <v>8</v>
      </c>
      <c r="O5" s="35"/>
      <c r="P5" s="36" t="s">
        <v>9</v>
      </c>
    </row>
    <row r="6" s="1" customFormat="1" ht="18" customHeight="1" spans="1:16">
      <c r="A6" s="9">
        <v>4</v>
      </c>
      <c r="B6" s="10" t="s">
        <v>10</v>
      </c>
      <c r="C6" s="10"/>
      <c r="D6" s="12"/>
      <c r="E6" s="13"/>
      <c r="F6" s="13"/>
      <c r="G6" s="13"/>
      <c r="H6" s="13"/>
      <c r="I6" s="13"/>
      <c r="J6" s="13"/>
      <c r="K6" s="13"/>
      <c r="L6" s="13"/>
      <c r="M6" s="37"/>
      <c r="N6" s="31"/>
      <c r="O6" s="32"/>
      <c r="P6" s="33"/>
    </row>
    <row r="7" s="1" customFormat="1" ht="18.75" spans="1:16">
      <c r="A7" s="14" t="s">
        <v>11</v>
      </c>
      <c r="B7" s="15"/>
      <c r="C7" s="15"/>
      <c r="D7" s="16"/>
      <c r="E7" s="17" t="s">
        <v>12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38"/>
    </row>
    <row r="8" ht="33.75" spans="1:16">
      <c r="A8" s="19" t="s">
        <v>13</v>
      </c>
      <c r="B8" s="20" t="s">
        <v>14</v>
      </c>
      <c r="C8" s="19" t="s">
        <v>15</v>
      </c>
      <c r="D8" s="21" t="s">
        <v>16</v>
      </c>
      <c r="E8" s="22" t="s">
        <v>17</v>
      </c>
      <c r="F8" s="22" t="s">
        <v>18</v>
      </c>
      <c r="G8" s="22" t="s">
        <v>19</v>
      </c>
      <c r="H8" s="22" t="s">
        <v>20</v>
      </c>
      <c r="I8" s="22" t="s">
        <v>21</v>
      </c>
      <c r="J8" s="22" t="s">
        <v>22</v>
      </c>
      <c r="K8" s="22" t="s">
        <v>23</v>
      </c>
      <c r="L8" s="22" t="s">
        <v>24</v>
      </c>
      <c r="M8" s="22" t="s">
        <v>25</v>
      </c>
      <c r="N8" s="22" t="s">
        <v>26</v>
      </c>
      <c r="O8" s="22" t="s">
        <v>27</v>
      </c>
      <c r="P8" s="39" t="s">
        <v>28</v>
      </c>
    </row>
    <row r="9" spans="1:16">
      <c r="A9" s="23">
        <v>1</v>
      </c>
      <c r="B9" s="41">
        <v>94889</v>
      </c>
      <c r="C9" s="41" t="s">
        <v>29</v>
      </c>
      <c r="D9" s="24" t="s">
        <v>30</v>
      </c>
      <c r="E9" s="24" t="s">
        <v>31</v>
      </c>
      <c r="F9" s="25">
        <v>4</v>
      </c>
      <c r="G9" s="25">
        <v>4</v>
      </c>
      <c r="H9" s="25">
        <v>4</v>
      </c>
      <c r="I9" s="25">
        <v>4</v>
      </c>
      <c r="J9" s="25">
        <v>4</v>
      </c>
      <c r="K9" s="25">
        <v>4</v>
      </c>
      <c r="L9" s="25">
        <v>4</v>
      </c>
      <c r="M9" s="25">
        <v>4</v>
      </c>
      <c r="N9" s="25">
        <v>3</v>
      </c>
      <c r="O9" s="25">
        <v>4</v>
      </c>
      <c r="P9" s="40">
        <f>SUM(F9:O9)</f>
        <v>39</v>
      </c>
    </row>
    <row r="10" spans="1:16">
      <c r="A10" s="23">
        <v>2</v>
      </c>
      <c r="B10" s="42">
        <v>21773</v>
      </c>
      <c r="C10" s="42" t="s">
        <v>32</v>
      </c>
      <c r="D10" s="24" t="s">
        <v>33</v>
      </c>
      <c r="E10" s="24" t="s">
        <v>31</v>
      </c>
      <c r="F10" s="25">
        <v>4</v>
      </c>
      <c r="G10" s="25">
        <v>4</v>
      </c>
      <c r="H10" s="25">
        <v>4</v>
      </c>
      <c r="I10" s="25">
        <v>4</v>
      </c>
      <c r="J10" s="25">
        <v>4</v>
      </c>
      <c r="K10" s="25">
        <v>4</v>
      </c>
      <c r="L10" s="25">
        <v>4</v>
      </c>
      <c r="M10" s="25">
        <v>4</v>
      </c>
      <c r="N10" s="25">
        <v>3</v>
      </c>
      <c r="O10" s="25">
        <v>3</v>
      </c>
      <c r="P10" s="40">
        <f>SUM(F10:O10)</f>
        <v>38</v>
      </c>
    </row>
    <row r="11" spans="1:16">
      <c r="A11" s="23">
        <v>3</v>
      </c>
      <c r="B11" s="42">
        <v>94169</v>
      </c>
      <c r="C11" s="42" t="s">
        <v>34</v>
      </c>
      <c r="D11" s="24" t="s">
        <v>33</v>
      </c>
      <c r="E11" s="24" t="s">
        <v>31</v>
      </c>
      <c r="F11" s="25">
        <v>4</v>
      </c>
      <c r="G11" s="25">
        <v>4</v>
      </c>
      <c r="H11" s="25">
        <v>4</v>
      </c>
      <c r="I11" s="25">
        <v>4</v>
      </c>
      <c r="J11" s="25">
        <v>4</v>
      </c>
      <c r="K11" s="25">
        <v>3</v>
      </c>
      <c r="L11" s="25">
        <v>4</v>
      </c>
      <c r="M11" s="25">
        <v>4</v>
      </c>
      <c r="N11" s="25">
        <v>3</v>
      </c>
      <c r="O11" s="25">
        <v>3</v>
      </c>
      <c r="P11" s="40">
        <f t="shared" ref="P11:P16" si="0">SUM(F11:O11)</f>
        <v>37</v>
      </c>
    </row>
    <row r="12" spans="1:16">
      <c r="A12" s="23">
        <v>4</v>
      </c>
      <c r="B12" s="42" t="s">
        <v>35</v>
      </c>
      <c r="C12" s="42" t="s">
        <v>36</v>
      </c>
      <c r="D12" s="24" t="s">
        <v>33</v>
      </c>
      <c r="E12" s="24" t="s">
        <v>31</v>
      </c>
      <c r="F12" s="25">
        <v>4</v>
      </c>
      <c r="G12" s="25">
        <v>4</v>
      </c>
      <c r="H12" s="25">
        <v>4</v>
      </c>
      <c r="I12" s="25">
        <v>4</v>
      </c>
      <c r="J12" s="25">
        <v>4</v>
      </c>
      <c r="K12" s="25">
        <v>4</v>
      </c>
      <c r="L12" s="25">
        <v>4</v>
      </c>
      <c r="M12" s="25">
        <v>4</v>
      </c>
      <c r="N12" s="25">
        <v>3</v>
      </c>
      <c r="O12" s="25">
        <v>3</v>
      </c>
      <c r="P12" s="40">
        <f t="shared" si="0"/>
        <v>38</v>
      </c>
    </row>
    <row r="13" spans="1:16">
      <c r="A13" s="23">
        <v>5</v>
      </c>
      <c r="B13" s="42" t="s">
        <v>37</v>
      </c>
      <c r="C13" s="42" t="s">
        <v>38</v>
      </c>
      <c r="D13" s="24" t="s">
        <v>33</v>
      </c>
      <c r="E13" s="24" t="s">
        <v>31</v>
      </c>
      <c r="F13" s="25">
        <v>4</v>
      </c>
      <c r="G13" s="25">
        <v>4</v>
      </c>
      <c r="H13" s="25">
        <v>4</v>
      </c>
      <c r="I13" s="25">
        <v>4</v>
      </c>
      <c r="J13" s="25">
        <v>4</v>
      </c>
      <c r="K13" s="25">
        <v>3</v>
      </c>
      <c r="L13" s="25">
        <v>4</v>
      </c>
      <c r="M13" s="25">
        <v>4</v>
      </c>
      <c r="N13" s="25">
        <v>3</v>
      </c>
      <c r="O13" s="25">
        <v>3</v>
      </c>
      <c r="P13" s="40">
        <f t="shared" si="0"/>
        <v>37</v>
      </c>
    </row>
    <row r="14" spans="1:16">
      <c r="A14" s="23">
        <v>6</v>
      </c>
      <c r="B14" s="42" t="s">
        <v>39</v>
      </c>
      <c r="C14" s="42" t="s">
        <v>40</v>
      </c>
      <c r="D14" s="24" t="s">
        <v>33</v>
      </c>
      <c r="E14" s="24" t="s">
        <v>31</v>
      </c>
      <c r="F14" s="25">
        <v>4</v>
      </c>
      <c r="G14" s="25">
        <v>4</v>
      </c>
      <c r="H14" s="25">
        <v>4</v>
      </c>
      <c r="I14" s="25">
        <v>4</v>
      </c>
      <c r="J14" s="25">
        <v>4</v>
      </c>
      <c r="K14" s="25">
        <v>4</v>
      </c>
      <c r="L14" s="25">
        <v>4</v>
      </c>
      <c r="M14" s="25">
        <v>4</v>
      </c>
      <c r="N14" s="25">
        <v>3</v>
      </c>
      <c r="O14" s="25">
        <v>3</v>
      </c>
      <c r="P14" s="40">
        <f t="shared" si="0"/>
        <v>38</v>
      </c>
    </row>
    <row r="15" spans="1:16">
      <c r="A15" s="23">
        <v>7</v>
      </c>
      <c r="B15" s="42" t="s">
        <v>41</v>
      </c>
      <c r="C15" s="42" t="s">
        <v>42</v>
      </c>
      <c r="D15" s="24" t="s">
        <v>33</v>
      </c>
      <c r="E15" s="24" t="s">
        <v>31</v>
      </c>
      <c r="F15" s="25">
        <v>4</v>
      </c>
      <c r="G15" s="25">
        <v>4</v>
      </c>
      <c r="H15" s="25">
        <v>4</v>
      </c>
      <c r="I15" s="25">
        <v>4</v>
      </c>
      <c r="J15" s="25">
        <v>4</v>
      </c>
      <c r="K15" s="25">
        <v>3</v>
      </c>
      <c r="L15" s="25">
        <v>3</v>
      </c>
      <c r="M15" s="25">
        <v>3</v>
      </c>
      <c r="N15" s="25">
        <v>3</v>
      </c>
      <c r="O15" s="25">
        <v>3</v>
      </c>
      <c r="P15" s="40">
        <f t="shared" si="0"/>
        <v>35</v>
      </c>
    </row>
    <row r="16" spans="1:16">
      <c r="A16" s="23">
        <v>8</v>
      </c>
      <c r="B16" s="42" t="s">
        <v>43</v>
      </c>
      <c r="C16" s="42" t="s">
        <v>44</v>
      </c>
      <c r="D16" s="24" t="s">
        <v>33</v>
      </c>
      <c r="E16" s="24" t="s">
        <v>31</v>
      </c>
      <c r="F16" s="25">
        <v>4</v>
      </c>
      <c r="G16" s="25">
        <v>4</v>
      </c>
      <c r="H16" s="25">
        <v>4</v>
      </c>
      <c r="I16" s="25">
        <v>4</v>
      </c>
      <c r="J16" s="25">
        <v>4</v>
      </c>
      <c r="K16" s="25">
        <v>3</v>
      </c>
      <c r="L16" s="25">
        <v>3</v>
      </c>
      <c r="M16" s="25">
        <v>3</v>
      </c>
      <c r="N16" s="25">
        <v>3</v>
      </c>
      <c r="O16" s="25">
        <v>3</v>
      </c>
      <c r="P16" s="40">
        <f t="shared" si="0"/>
        <v>35</v>
      </c>
    </row>
    <row r="17" spans="1:16">
      <c r="A17" s="23">
        <v>9</v>
      </c>
      <c r="B17" s="42" t="s">
        <v>45</v>
      </c>
      <c r="C17" s="42" t="s">
        <v>46</v>
      </c>
      <c r="D17" s="24" t="s">
        <v>33</v>
      </c>
      <c r="E17" s="24" t="s">
        <v>31</v>
      </c>
      <c r="F17" s="25">
        <v>4</v>
      </c>
      <c r="G17" s="25">
        <v>4</v>
      </c>
      <c r="H17" s="25">
        <v>4</v>
      </c>
      <c r="I17" s="25">
        <v>4</v>
      </c>
      <c r="J17" s="25">
        <v>4</v>
      </c>
      <c r="K17" s="25">
        <v>3</v>
      </c>
      <c r="L17" s="25">
        <v>3</v>
      </c>
      <c r="M17" s="25">
        <v>3</v>
      </c>
      <c r="N17" s="25">
        <v>3</v>
      </c>
      <c r="O17" s="25">
        <v>3</v>
      </c>
      <c r="P17" s="40">
        <f t="shared" ref="P17:P19" si="1">SUM(F17:O17)</f>
        <v>35</v>
      </c>
    </row>
    <row r="18" spans="1:16">
      <c r="A18" s="23">
        <v>10</v>
      </c>
      <c r="B18" s="42">
        <v>38017</v>
      </c>
      <c r="C18" s="42" t="s">
        <v>47</v>
      </c>
      <c r="D18" s="24" t="s">
        <v>33</v>
      </c>
      <c r="E18" s="24" t="s">
        <v>31</v>
      </c>
      <c r="F18" s="25">
        <v>4</v>
      </c>
      <c r="G18" s="25">
        <v>4</v>
      </c>
      <c r="H18" s="25">
        <v>4</v>
      </c>
      <c r="I18" s="25">
        <v>4</v>
      </c>
      <c r="J18" s="25">
        <v>4</v>
      </c>
      <c r="K18" s="25">
        <v>3</v>
      </c>
      <c r="L18" s="25">
        <v>3</v>
      </c>
      <c r="M18" s="25">
        <v>3</v>
      </c>
      <c r="N18" s="25">
        <v>3</v>
      </c>
      <c r="O18" s="25">
        <v>3</v>
      </c>
      <c r="P18" s="40">
        <f t="shared" si="1"/>
        <v>35</v>
      </c>
    </row>
    <row r="19" spans="1:16">
      <c r="A19" s="23">
        <v>11</v>
      </c>
      <c r="B19" s="42" t="s">
        <v>48</v>
      </c>
      <c r="C19" s="42" t="s">
        <v>49</v>
      </c>
      <c r="D19" s="24" t="s">
        <v>33</v>
      </c>
      <c r="E19" s="24" t="s">
        <v>31</v>
      </c>
      <c r="F19" s="25">
        <v>4</v>
      </c>
      <c r="G19" s="25">
        <v>4</v>
      </c>
      <c r="H19" s="25">
        <v>4</v>
      </c>
      <c r="I19" s="25">
        <v>4</v>
      </c>
      <c r="J19" s="25">
        <v>4</v>
      </c>
      <c r="K19" s="25">
        <v>3</v>
      </c>
      <c r="L19" s="25">
        <v>3</v>
      </c>
      <c r="M19" s="25">
        <v>3</v>
      </c>
      <c r="N19" s="25">
        <v>3</v>
      </c>
      <c r="O19" s="25">
        <v>3</v>
      </c>
      <c r="P19" s="40">
        <f t="shared" si="1"/>
        <v>35</v>
      </c>
    </row>
    <row r="20" spans="1:16">
      <c r="A20" s="23">
        <v>12</v>
      </c>
      <c r="B20" s="42" t="s">
        <v>50</v>
      </c>
      <c r="C20" s="42" t="s">
        <v>51</v>
      </c>
      <c r="D20" s="24" t="s">
        <v>33</v>
      </c>
      <c r="E20" s="24" t="s">
        <v>31</v>
      </c>
      <c r="F20" s="25">
        <v>4</v>
      </c>
      <c r="G20" s="25">
        <v>4</v>
      </c>
      <c r="H20" s="25">
        <v>4</v>
      </c>
      <c r="I20" s="25">
        <v>4</v>
      </c>
      <c r="J20" s="25">
        <v>4</v>
      </c>
      <c r="K20" s="25">
        <v>3</v>
      </c>
      <c r="L20" s="25">
        <v>3</v>
      </c>
      <c r="M20" s="25">
        <v>3</v>
      </c>
      <c r="N20" s="25">
        <v>3</v>
      </c>
      <c r="O20" s="25">
        <v>3</v>
      </c>
      <c r="P20" s="40">
        <f t="shared" ref="P20:P23" si="2">SUM(F20:O20)</f>
        <v>35</v>
      </c>
    </row>
    <row r="21" spans="1:16">
      <c r="A21" s="23">
        <v>13</v>
      </c>
      <c r="B21" s="42" t="s">
        <v>52</v>
      </c>
      <c r="C21" s="42" t="s">
        <v>53</v>
      </c>
      <c r="D21" s="24" t="s">
        <v>33</v>
      </c>
      <c r="E21" s="24" t="s">
        <v>31</v>
      </c>
      <c r="F21" s="25">
        <v>4</v>
      </c>
      <c r="G21" s="25">
        <v>4</v>
      </c>
      <c r="H21" s="25">
        <v>4</v>
      </c>
      <c r="I21" s="25">
        <v>4</v>
      </c>
      <c r="J21" s="25">
        <v>4</v>
      </c>
      <c r="K21" s="25">
        <v>3</v>
      </c>
      <c r="L21" s="25">
        <v>3</v>
      </c>
      <c r="M21" s="25">
        <v>3</v>
      </c>
      <c r="N21" s="25">
        <v>3</v>
      </c>
      <c r="O21" s="25">
        <v>3</v>
      </c>
      <c r="P21" s="40">
        <f t="shared" si="2"/>
        <v>35</v>
      </c>
    </row>
    <row r="22" spans="1:16">
      <c r="A22" s="23">
        <v>14</v>
      </c>
      <c r="B22" s="42" t="s">
        <v>54</v>
      </c>
      <c r="C22" s="42" t="s">
        <v>55</v>
      </c>
      <c r="D22" s="24" t="s">
        <v>33</v>
      </c>
      <c r="E22" s="24" t="s">
        <v>31</v>
      </c>
      <c r="F22" s="25">
        <v>4</v>
      </c>
      <c r="G22" s="25">
        <v>4</v>
      </c>
      <c r="H22" s="25">
        <v>4</v>
      </c>
      <c r="I22" s="25">
        <v>4</v>
      </c>
      <c r="J22" s="25">
        <v>4</v>
      </c>
      <c r="K22" s="25">
        <v>3</v>
      </c>
      <c r="L22" s="25">
        <v>3</v>
      </c>
      <c r="M22" s="25">
        <v>3</v>
      </c>
      <c r="N22" s="25">
        <v>3</v>
      </c>
      <c r="O22" s="25">
        <v>3</v>
      </c>
      <c r="P22" s="40">
        <f t="shared" si="2"/>
        <v>35</v>
      </c>
    </row>
    <row r="23" spans="1:16">
      <c r="A23" s="23">
        <v>15</v>
      </c>
      <c r="B23" s="42" t="s">
        <v>56</v>
      </c>
      <c r="C23" s="42" t="s">
        <v>57</v>
      </c>
      <c r="D23" s="24" t="s">
        <v>33</v>
      </c>
      <c r="E23" s="24" t="s">
        <v>31</v>
      </c>
      <c r="F23" s="25">
        <v>4</v>
      </c>
      <c r="G23" s="25">
        <v>4</v>
      </c>
      <c r="H23" s="25">
        <v>4</v>
      </c>
      <c r="I23" s="25">
        <v>4</v>
      </c>
      <c r="J23" s="25">
        <v>4</v>
      </c>
      <c r="K23" s="25">
        <v>3</v>
      </c>
      <c r="L23" s="25">
        <v>3</v>
      </c>
      <c r="M23" s="25">
        <v>3</v>
      </c>
      <c r="N23" s="25">
        <v>2</v>
      </c>
      <c r="O23" s="25">
        <v>3</v>
      </c>
      <c r="P23" s="40">
        <f t="shared" si="2"/>
        <v>34</v>
      </c>
    </row>
    <row r="24" spans="1:16">
      <c r="A24" s="23">
        <v>16</v>
      </c>
      <c r="B24" s="42">
        <v>13340</v>
      </c>
      <c r="C24" s="42" t="s">
        <v>58</v>
      </c>
      <c r="D24" s="24" t="s">
        <v>33</v>
      </c>
      <c r="E24" s="24" t="s">
        <v>31</v>
      </c>
      <c r="F24" s="25">
        <v>4</v>
      </c>
      <c r="G24" s="25">
        <v>4</v>
      </c>
      <c r="H24" s="25">
        <v>4</v>
      </c>
      <c r="I24" s="25">
        <v>4</v>
      </c>
      <c r="J24" s="25">
        <v>4</v>
      </c>
      <c r="K24" s="25">
        <v>3</v>
      </c>
      <c r="L24" s="25">
        <v>3</v>
      </c>
      <c r="M24" s="25">
        <v>3</v>
      </c>
      <c r="N24" s="25">
        <v>2</v>
      </c>
      <c r="O24" s="25">
        <v>3</v>
      </c>
      <c r="P24" s="40">
        <f t="shared" ref="P24:P27" si="3">SUM(F24:O24)</f>
        <v>34</v>
      </c>
    </row>
    <row r="25" spans="1:16">
      <c r="A25" s="23">
        <v>17</v>
      </c>
      <c r="B25" s="42">
        <v>38017</v>
      </c>
      <c r="C25" s="42" t="s">
        <v>47</v>
      </c>
      <c r="D25" s="24" t="s">
        <v>33</v>
      </c>
      <c r="E25" s="24" t="s">
        <v>31</v>
      </c>
      <c r="F25" s="25">
        <v>4</v>
      </c>
      <c r="G25" s="25">
        <v>4</v>
      </c>
      <c r="H25" s="25">
        <v>4</v>
      </c>
      <c r="I25" s="25">
        <v>4</v>
      </c>
      <c r="J25" s="25">
        <v>4</v>
      </c>
      <c r="K25" s="25">
        <v>3</v>
      </c>
      <c r="L25" s="25">
        <v>3</v>
      </c>
      <c r="M25" s="25">
        <v>3</v>
      </c>
      <c r="N25" s="25">
        <v>2</v>
      </c>
      <c r="O25" s="25">
        <v>3</v>
      </c>
      <c r="P25" s="40">
        <f t="shared" si="3"/>
        <v>34</v>
      </c>
    </row>
    <row r="26" spans="1:16">
      <c r="A26" s="23">
        <v>18</v>
      </c>
      <c r="B26" s="42" t="s">
        <v>59</v>
      </c>
      <c r="C26" s="42" t="s">
        <v>60</v>
      </c>
      <c r="D26" s="24" t="s">
        <v>33</v>
      </c>
      <c r="E26" s="24" t="s">
        <v>31</v>
      </c>
      <c r="F26" s="25">
        <v>4</v>
      </c>
      <c r="G26" s="25">
        <v>4</v>
      </c>
      <c r="H26" s="25">
        <v>4</v>
      </c>
      <c r="I26" s="25">
        <v>4</v>
      </c>
      <c r="J26" s="25">
        <v>4</v>
      </c>
      <c r="K26" s="25">
        <v>3</v>
      </c>
      <c r="L26" s="25">
        <v>3</v>
      </c>
      <c r="M26" s="25">
        <v>3</v>
      </c>
      <c r="N26" s="25">
        <v>2</v>
      </c>
      <c r="O26" s="25">
        <v>3</v>
      </c>
      <c r="P26" s="40">
        <f t="shared" si="3"/>
        <v>34</v>
      </c>
    </row>
    <row r="27" spans="1:16">
      <c r="A27" s="23">
        <v>19</v>
      </c>
      <c r="B27" s="42" t="s">
        <v>61</v>
      </c>
      <c r="C27" s="42" t="s">
        <v>62</v>
      </c>
      <c r="D27" s="24" t="s">
        <v>33</v>
      </c>
      <c r="E27" s="24" t="s">
        <v>31</v>
      </c>
      <c r="F27" s="25">
        <v>4</v>
      </c>
      <c r="G27" s="25">
        <v>4</v>
      </c>
      <c r="H27" s="25">
        <v>3</v>
      </c>
      <c r="I27" s="25">
        <v>3</v>
      </c>
      <c r="J27" s="25">
        <v>4</v>
      </c>
      <c r="K27" s="25">
        <v>3</v>
      </c>
      <c r="L27" s="25">
        <v>4</v>
      </c>
      <c r="M27" s="25">
        <v>4</v>
      </c>
      <c r="N27" s="25">
        <v>2</v>
      </c>
      <c r="O27" s="25">
        <v>3</v>
      </c>
      <c r="P27" s="40">
        <f t="shared" si="3"/>
        <v>34</v>
      </c>
    </row>
    <row r="28" spans="1:16">
      <c r="A28" s="23">
        <v>20</v>
      </c>
      <c r="B28" s="42" t="s">
        <v>63</v>
      </c>
      <c r="C28" s="42" t="s">
        <v>64</v>
      </c>
      <c r="D28" s="24" t="s">
        <v>33</v>
      </c>
      <c r="E28" s="24" t="s">
        <v>31</v>
      </c>
      <c r="F28" s="25">
        <v>4</v>
      </c>
      <c r="G28" s="25">
        <v>4</v>
      </c>
      <c r="H28" s="25">
        <v>3</v>
      </c>
      <c r="I28" s="25">
        <v>3</v>
      </c>
      <c r="J28" s="25">
        <v>4</v>
      </c>
      <c r="K28" s="25">
        <v>3</v>
      </c>
      <c r="L28" s="25">
        <v>4</v>
      </c>
      <c r="M28" s="25">
        <v>4</v>
      </c>
      <c r="N28" s="25">
        <v>2</v>
      </c>
      <c r="O28" s="25">
        <v>3</v>
      </c>
      <c r="P28" s="40">
        <f t="shared" ref="P28:P30" si="4">SUM(F28:O28)</f>
        <v>34</v>
      </c>
    </row>
    <row r="29" spans="1:16">
      <c r="A29" s="23">
        <v>21</v>
      </c>
      <c r="B29" s="42">
        <v>38854</v>
      </c>
      <c r="C29" s="42" t="s">
        <v>65</v>
      </c>
      <c r="D29" s="24" t="s">
        <v>33</v>
      </c>
      <c r="E29" s="24" t="s">
        <v>31</v>
      </c>
      <c r="F29" s="25">
        <v>4</v>
      </c>
      <c r="G29" s="25">
        <v>4</v>
      </c>
      <c r="H29" s="25">
        <v>3</v>
      </c>
      <c r="I29" s="25">
        <v>3</v>
      </c>
      <c r="J29" s="25">
        <v>4</v>
      </c>
      <c r="K29" s="25">
        <v>3</v>
      </c>
      <c r="L29" s="25">
        <v>4</v>
      </c>
      <c r="M29" s="25">
        <v>4</v>
      </c>
      <c r="N29" s="25">
        <v>2</v>
      </c>
      <c r="O29" s="25">
        <v>3</v>
      </c>
      <c r="P29" s="40">
        <f t="shared" si="4"/>
        <v>34</v>
      </c>
    </row>
    <row r="30" spans="1:16">
      <c r="A30" s="23">
        <v>22</v>
      </c>
      <c r="B30" s="42" t="s">
        <v>66</v>
      </c>
      <c r="C30" s="42" t="s">
        <v>67</v>
      </c>
      <c r="D30" s="24" t="s">
        <v>33</v>
      </c>
      <c r="E30" s="24" t="s">
        <v>31</v>
      </c>
      <c r="F30" s="25">
        <v>4</v>
      </c>
      <c r="G30" s="25">
        <v>4</v>
      </c>
      <c r="H30" s="25">
        <v>3</v>
      </c>
      <c r="I30" s="25">
        <v>3</v>
      </c>
      <c r="J30" s="25">
        <v>4</v>
      </c>
      <c r="K30" s="25">
        <v>3</v>
      </c>
      <c r="L30" s="25">
        <v>4</v>
      </c>
      <c r="M30" s="25">
        <v>4</v>
      </c>
      <c r="N30" s="25">
        <v>2</v>
      </c>
      <c r="O30" s="25">
        <v>3</v>
      </c>
      <c r="P30" s="40">
        <f t="shared" si="4"/>
        <v>34</v>
      </c>
    </row>
  </sheetData>
  <mergeCells count="12">
    <mergeCell ref="A1:C1"/>
    <mergeCell ref="B3:C3"/>
    <mergeCell ref="B4:C4"/>
    <mergeCell ref="B5:C5"/>
    <mergeCell ref="B6:C6"/>
    <mergeCell ref="A7:D7"/>
    <mergeCell ref="E7:P7"/>
    <mergeCell ref="D1:D6"/>
    <mergeCell ref="N3:P4"/>
    <mergeCell ref="N5:P6"/>
    <mergeCell ref="E1:M6"/>
    <mergeCell ref="N1:P2"/>
  </mergeCells>
  <conditionalFormatting sqref="B2:C2">
    <cfRule type="iconSet" priority="14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B8"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</conditionalFormatting>
  <conditionalFormatting sqref="L9">
    <cfRule type="iconSet" priority="5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9">
    <cfRule type="iconSet" priority="56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F10">
    <cfRule type="iconSet" priority="57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G10">
    <cfRule type="iconSet" priority="58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H10">
    <cfRule type="iconSet" priority="59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J10">
    <cfRule type="iconSet" priority="6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K10">
    <cfRule type="iconSet" priority="6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10">
    <cfRule type="iconSet" priority="4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M10">
    <cfRule type="iconSet" priority="64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N10">
    <cfRule type="iconSet" priority="60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11">
    <cfRule type="iconSet" priority="6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11">
    <cfRule type="iconSet" priority="54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I13">
    <cfRule type="iconSet" priority="36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13">
    <cfRule type="iconSet" priority="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M13">
    <cfRule type="iconSet" priority="37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13">
    <cfRule type="iconSet" priority="39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I27">
    <cfRule type="iconSet" priority="97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27">
    <cfRule type="iconSet" priority="7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M27">
    <cfRule type="iconSet" priority="98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N27">
    <cfRule type="iconSet" priority="10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27">
    <cfRule type="iconSet" priority="99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A2:A6">
    <cfRule type="iconSet" priority="19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B3:B6">
    <cfRule type="duplicateValues" dxfId="0" priority="20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21"/>
    <cfRule type="duplicateValues" dxfId="0" priority="22"/>
    <cfRule type="duplicateValues" dxfId="0" priority="23"/>
    <cfRule type="duplicateValues" dxfId="0" priority="24"/>
  </conditionalFormatting>
  <conditionalFormatting sqref="I14:I15">
    <cfRule type="iconSet" priority="31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I28:I30">
    <cfRule type="iconSet" priority="9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14:L15">
    <cfRule type="iconSet" priority="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28:L30">
    <cfRule type="iconSet" priority="1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M14:M15">
    <cfRule type="iconSet" priority="3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M28:M30">
    <cfRule type="iconSet" priority="10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N28:N30">
    <cfRule type="iconSet" priority="1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14:O15">
    <cfRule type="iconSet" priority="34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28:O30">
    <cfRule type="iconSet" priority="11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P9:P30">
    <cfRule type="dataBar" priority="30">
      <dataBar>
        <cfvo type="num" val="0"/>
        <cfvo type="num" val="40"/>
        <color rgb="FF7030A0"/>
      </dataBar>
      <extLst>
        <ext xmlns:x14="http://schemas.microsoft.com/office/spreadsheetml/2009/9/main" uri="{B025F937-C7B1-47D3-B67F-A62EFF666E3E}">
          <x14:id>{02c530c2-c2a5-4543-be93-3cd0eeece10d}</x14:id>
        </ext>
      </extLst>
    </cfRule>
  </conditionalFormatting>
  <conditionalFormatting sqref="F9:K9 M9:N9">
    <cfRule type="iconSet" priority="90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I10 O10">
    <cfRule type="iconSet" priority="61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F11:K11 M11:N11">
    <cfRule type="iconSet" priority="91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N16:N26 F16:H26 J16:K26 J12:K12 F12:H12 N12">
    <cfRule type="iconSet" priority="109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I16:I26 I12">
    <cfRule type="iconSet" priority="10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16:L26 L12">
    <cfRule type="iconSet" priority="8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M16:M26 M12">
    <cfRule type="iconSet" priority="105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16:O26 O12">
    <cfRule type="iconSet" priority="107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N13 J13:K13 F13:H13">
    <cfRule type="iconSet" priority="38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N14:N15 F14:H15 J14:K15">
    <cfRule type="iconSet" priority="3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J27:K27 F27:H27">
    <cfRule type="iconSet" priority="100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J28:K30 F28:H30">
    <cfRule type="iconSet" priority="1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dataValidations count="1">
    <dataValidation type="whole" operator="between" allowBlank="1" showInputMessage="1" showErrorMessage="1" error="PLEASE SELECT  0 to 4" promptTitle="Score Between 0 to 4" prompt="To Score Skill Level Kindly See Skill Level Refrence Sheet" sqref="B2 A2:A6 C2:C6 F9:O30" errorStyle="information">
      <formula1>0</formula1>
      <formula2>4</formula2>
    </dataValidation>
  </dataValidations>
  <printOptions horizontalCentered="1" verticalCentered="1"/>
  <pageMargins left="0" right="0" top="0" bottom="0" header="0" footer="0"/>
  <pageSetup paperSize="9" scale="83" orientation="landscape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c530c2-c2a5-4543-be93-3cd0eeece10d}">
            <x14:dataBar minLength="0" maxLength="100" gradient="0">
              <x14:cfvo type="num">
                <xm:f>0</xm:f>
              </x14:cfvo>
              <x14:cfvo type="num">
                <xm:f>40</xm:f>
              </x14:cfvo>
              <x14:negativeFillColor rgb="FFFF0000"/>
              <x14:axisColor rgb="FF000000"/>
            </x14:dataBar>
          </x14:cfRule>
          <xm:sqref>P9:P30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tabSelected="1" view="pageBreakPreview" zoomScaleNormal="100" workbookViewId="0">
      <selection activeCell="R13" sqref="R13"/>
    </sheetView>
  </sheetViews>
  <sheetFormatPr defaultColWidth="9" defaultRowHeight="15"/>
  <cols>
    <col min="1" max="1" width="4.42857142857143" customWidth="1"/>
    <col min="2" max="2" width="12.4285714285714" customWidth="1"/>
    <col min="3" max="3" width="14.1428571428571" customWidth="1"/>
    <col min="4" max="4" width="11.7142857142857" customWidth="1"/>
    <col min="5" max="5" width="11" customWidth="1"/>
    <col min="6" max="6" width="8.42857142857143" customWidth="1"/>
    <col min="7" max="7" width="9.85714285714286" customWidth="1"/>
    <col min="8" max="8" width="8.57142857142857" customWidth="1"/>
    <col min="9" max="9" width="8.85714285714286" customWidth="1"/>
    <col min="10" max="10" width="9.28571428571429" customWidth="1"/>
    <col min="11" max="12" width="10" customWidth="1"/>
    <col min="13" max="13" width="10.2857142857143" customWidth="1"/>
    <col min="14" max="14" width="10.1428571428571" customWidth="1"/>
    <col min="15" max="15" width="11.8571428571429" customWidth="1"/>
    <col min="16" max="16" width="12.1428571428571" customWidth="1"/>
  </cols>
  <sheetData>
    <row r="1" s="1" customFormat="1" ht="14.25" customHeight="1" spans="1:16">
      <c r="A1" s="2" t="s">
        <v>0</v>
      </c>
      <c r="B1" s="3"/>
      <c r="C1" s="3"/>
      <c r="D1" s="4"/>
      <c r="E1" s="5" t="s">
        <v>1</v>
      </c>
      <c r="F1" s="5"/>
      <c r="G1" s="5"/>
      <c r="H1" s="5"/>
      <c r="I1" s="5"/>
      <c r="J1" s="5"/>
      <c r="K1" s="5"/>
      <c r="L1" s="5"/>
      <c r="M1" s="26"/>
      <c r="N1" s="27" t="s">
        <v>2</v>
      </c>
      <c r="O1" s="28"/>
      <c r="P1" s="29"/>
    </row>
    <row r="2" s="1" customFormat="1" ht="18" customHeight="1" spans="1:16">
      <c r="A2" s="6"/>
      <c r="B2" s="6"/>
      <c r="C2" s="6"/>
      <c r="D2" s="7"/>
      <c r="E2" s="8"/>
      <c r="F2" s="8"/>
      <c r="G2" s="8"/>
      <c r="H2" s="8"/>
      <c r="I2" s="8"/>
      <c r="J2" s="8"/>
      <c r="K2" s="8"/>
      <c r="L2" s="8"/>
      <c r="M2" s="30"/>
      <c r="N2" s="31"/>
      <c r="O2" s="32"/>
      <c r="P2" s="33"/>
    </row>
    <row r="3" s="1" customFormat="1" ht="18" customHeight="1" spans="1:16">
      <c r="A3" s="9">
        <v>1</v>
      </c>
      <c r="B3" s="10" t="s">
        <v>3</v>
      </c>
      <c r="C3" s="10"/>
      <c r="D3" s="11"/>
      <c r="E3" s="8"/>
      <c r="F3" s="8"/>
      <c r="G3" s="8"/>
      <c r="H3" s="8"/>
      <c r="I3" s="8"/>
      <c r="J3" s="8"/>
      <c r="K3" s="8"/>
      <c r="L3" s="8"/>
      <c r="M3" s="30"/>
      <c r="N3" s="34" t="s">
        <v>4</v>
      </c>
      <c r="O3" s="35"/>
      <c r="P3" s="36" t="s">
        <v>5</v>
      </c>
    </row>
    <row r="4" s="1" customFormat="1" ht="18" customHeight="1" spans="1:16">
      <c r="A4" s="9">
        <v>2</v>
      </c>
      <c r="B4" s="10" t="s">
        <v>6</v>
      </c>
      <c r="C4" s="10"/>
      <c r="D4" s="11"/>
      <c r="E4" s="8"/>
      <c r="F4" s="8"/>
      <c r="G4" s="8"/>
      <c r="H4" s="8"/>
      <c r="I4" s="8"/>
      <c r="J4" s="8"/>
      <c r="K4" s="8"/>
      <c r="L4" s="8"/>
      <c r="M4" s="30"/>
      <c r="N4" s="31"/>
      <c r="O4" s="32"/>
      <c r="P4" s="33"/>
    </row>
    <row r="5" s="1" customFormat="1" ht="18" customHeight="1" spans="1:16">
      <c r="A5" s="9">
        <v>3</v>
      </c>
      <c r="B5" s="10" t="s">
        <v>7</v>
      </c>
      <c r="C5" s="10"/>
      <c r="D5" s="11"/>
      <c r="E5" s="8"/>
      <c r="F5" s="8"/>
      <c r="G5" s="8"/>
      <c r="H5" s="8"/>
      <c r="I5" s="8"/>
      <c r="J5" s="8"/>
      <c r="K5" s="8"/>
      <c r="L5" s="8"/>
      <c r="M5" s="30"/>
      <c r="N5" s="34" t="s">
        <v>8</v>
      </c>
      <c r="O5" s="35"/>
      <c r="P5" s="36" t="s">
        <v>9</v>
      </c>
    </row>
    <row r="6" s="1" customFormat="1" ht="18" customHeight="1" spans="1:16">
      <c r="A6" s="9">
        <v>4</v>
      </c>
      <c r="B6" s="10" t="s">
        <v>10</v>
      </c>
      <c r="C6" s="10"/>
      <c r="D6" s="12"/>
      <c r="E6" s="13"/>
      <c r="F6" s="13"/>
      <c r="G6" s="13"/>
      <c r="H6" s="13"/>
      <c r="I6" s="13"/>
      <c r="J6" s="13"/>
      <c r="K6" s="13"/>
      <c r="L6" s="13"/>
      <c r="M6" s="37"/>
      <c r="N6" s="31"/>
      <c r="O6" s="32"/>
      <c r="P6" s="33"/>
    </row>
    <row r="7" s="1" customFormat="1" ht="18.75" spans="1:16">
      <c r="A7" s="14" t="s">
        <v>11</v>
      </c>
      <c r="B7" s="15"/>
      <c r="C7" s="15"/>
      <c r="D7" s="16"/>
      <c r="E7" s="17" t="s">
        <v>12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38"/>
    </row>
    <row r="8" ht="33.75" spans="1:16">
      <c r="A8" s="19" t="s">
        <v>13</v>
      </c>
      <c r="B8" s="20" t="s">
        <v>14</v>
      </c>
      <c r="C8" s="19" t="s">
        <v>15</v>
      </c>
      <c r="D8" s="21" t="s">
        <v>16</v>
      </c>
      <c r="E8" s="22" t="s">
        <v>17</v>
      </c>
      <c r="F8" s="22" t="s">
        <v>18</v>
      </c>
      <c r="G8" s="22" t="s">
        <v>19</v>
      </c>
      <c r="H8" s="22" t="s">
        <v>20</v>
      </c>
      <c r="I8" s="22" t="s">
        <v>21</v>
      </c>
      <c r="J8" s="22" t="s">
        <v>22</v>
      </c>
      <c r="K8" s="22" t="s">
        <v>23</v>
      </c>
      <c r="L8" s="22" t="s">
        <v>24</v>
      </c>
      <c r="M8" s="22" t="s">
        <v>25</v>
      </c>
      <c r="N8" s="22" t="s">
        <v>26</v>
      </c>
      <c r="O8" s="22" t="s">
        <v>27</v>
      </c>
      <c r="P8" s="39" t="s">
        <v>28</v>
      </c>
    </row>
    <row r="9" spans="1:16">
      <c r="A9" s="23">
        <v>1</v>
      </c>
      <c r="B9" s="24" t="s">
        <v>68</v>
      </c>
      <c r="C9" s="24" t="s">
        <v>69</v>
      </c>
      <c r="D9" s="24" t="s">
        <v>30</v>
      </c>
      <c r="E9" s="24" t="s">
        <v>31</v>
      </c>
      <c r="F9" s="25">
        <v>4</v>
      </c>
      <c r="G9" s="25">
        <v>4</v>
      </c>
      <c r="H9" s="25">
        <v>4</v>
      </c>
      <c r="I9" s="25">
        <v>4</v>
      </c>
      <c r="J9" s="25">
        <v>4</v>
      </c>
      <c r="K9" s="25">
        <v>4</v>
      </c>
      <c r="L9" s="25">
        <v>4</v>
      </c>
      <c r="M9" s="25">
        <v>4</v>
      </c>
      <c r="N9" s="25">
        <v>3</v>
      </c>
      <c r="O9" s="25">
        <v>4</v>
      </c>
      <c r="P9" s="40">
        <f t="shared" ref="P9:P30" si="0">SUM(F9:O9)</f>
        <v>39</v>
      </c>
    </row>
    <row r="10" spans="1:16">
      <c r="A10" s="23">
        <v>2</v>
      </c>
      <c r="B10" s="24" t="s">
        <v>70</v>
      </c>
      <c r="C10" s="24" t="s">
        <v>29</v>
      </c>
      <c r="D10" s="24" t="s">
        <v>33</v>
      </c>
      <c r="E10" s="24" t="s">
        <v>31</v>
      </c>
      <c r="F10" s="25">
        <v>4</v>
      </c>
      <c r="G10" s="25">
        <v>4</v>
      </c>
      <c r="H10" s="25">
        <v>4</v>
      </c>
      <c r="I10" s="25">
        <v>4</v>
      </c>
      <c r="J10" s="25">
        <v>4</v>
      </c>
      <c r="K10" s="25">
        <v>4</v>
      </c>
      <c r="L10" s="25">
        <v>4</v>
      </c>
      <c r="M10" s="25">
        <v>4</v>
      </c>
      <c r="N10" s="25">
        <v>3</v>
      </c>
      <c r="O10" s="25">
        <v>3</v>
      </c>
      <c r="P10" s="40">
        <f t="shared" si="0"/>
        <v>38</v>
      </c>
    </row>
    <row r="11" spans="1:16">
      <c r="A11" s="23">
        <v>3</v>
      </c>
      <c r="B11" s="24" t="s">
        <v>71</v>
      </c>
      <c r="C11" s="24" t="s">
        <v>62</v>
      </c>
      <c r="D11" s="24" t="s">
        <v>33</v>
      </c>
      <c r="E11" s="24" t="s">
        <v>31</v>
      </c>
      <c r="F11" s="25">
        <v>4</v>
      </c>
      <c r="G11" s="25">
        <v>4</v>
      </c>
      <c r="H11" s="25">
        <v>4</v>
      </c>
      <c r="I11" s="25">
        <v>4</v>
      </c>
      <c r="J11" s="25">
        <v>4</v>
      </c>
      <c r="K11" s="25">
        <v>3</v>
      </c>
      <c r="L11" s="25">
        <v>4</v>
      </c>
      <c r="M11" s="25">
        <v>4</v>
      </c>
      <c r="N11" s="25">
        <v>3</v>
      </c>
      <c r="O11" s="25">
        <v>3</v>
      </c>
      <c r="P11" s="40">
        <f t="shared" si="0"/>
        <v>37</v>
      </c>
    </row>
    <row r="12" spans="1:16">
      <c r="A12" s="23">
        <v>4</v>
      </c>
      <c r="B12" s="24" t="s">
        <v>72</v>
      </c>
      <c r="C12" s="24" t="s">
        <v>73</v>
      </c>
      <c r="D12" s="24" t="s">
        <v>33</v>
      </c>
      <c r="E12" s="24" t="s">
        <v>31</v>
      </c>
      <c r="F12" s="25">
        <v>4</v>
      </c>
      <c r="G12" s="25">
        <v>4</v>
      </c>
      <c r="H12" s="25">
        <v>4</v>
      </c>
      <c r="I12" s="25">
        <v>4</v>
      </c>
      <c r="J12" s="25">
        <v>4</v>
      </c>
      <c r="K12" s="25">
        <v>4</v>
      </c>
      <c r="L12" s="25">
        <v>4</v>
      </c>
      <c r="M12" s="25">
        <v>4</v>
      </c>
      <c r="N12" s="25">
        <v>3</v>
      </c>
      <c r="O12" s="25">
        <v>3</v>
      </c>
      <c r="P12" s="40">
        <f t="shared" si="0"/>
        <v>38</v>
      </c>
    </row>
    <row r="13" spans="1:16">
      <c r="A13" s="23">
        <v>5</v>
      </c>
      <c r="B13" s="24" t="s">
        <v>74</v>
      </c>
      <c r="C13" s="24" t="s">
        <v>75</v>
      </c>
      <c r="D13" s="24" t="s">
        <v>33</v>
      </c>
      <c r="E13" s="24" t="s">
        <v>31</v>
      </c>
      <c r="F13" s="25">
        <v>4</v>
      </c>
      <c r="G13" s="25">
        <v>4</v>
      </c>
      <c r="H13" s="25">
        <v>4</v>
      </c>
      <c r="I13" s="25">
        <v>4</v>
      </c>
      <c r="J13" s="25">
        <v>4</v>
      </c>
      <c r="K13" s="25">
        <v>3</v>
      </c>
      <c r="L13" s="25">
        <v>4</v>
      </c>
      <c r="M13" s="25">
        <v>4</v>
      </c>
      <c r="N13" s="25">
        <v>3</v>
      </c>
      <c r="O13" s="25">
        <v>3</v>
      </c>
      <c r="P13" s="40">
        <f t="shared" si="0"/>
        <v>37</v>
      </c>
    </row>
    <row r="14" spans="1:16">
      <c r="A14" s="23">
        <v>6</v>
      </c>
      <c r="B14" s="24">
        <v>14617</v>
      </c>
      <c r="C14" s="24" t="s">
        <v>76</v>
      </c>
      <c r="D14" s="24" t="s">
        <v>33</v>
      </c>
      <c r="E14" s="24" t="s">
        <v>31</v>
      </c>
      <c r="F14" s="25">
        <v>4</v>
      </c>
      <c r="G14" s="25">
        <v>4</v>
      </c>
      <c r="H14" s="25">
        <v>4</v>
      </c>
      <c r="I14" s="25">
        <v>4</v>
      </c>
      <c r="J14" s="25">
        <v>4</v>
      </c>
      <c r="K14" s="25">
        <v>4</v>
      </c>
      <c r="L14" s="25">
        <v>4</v>
      </c>
      <c r="M14" s="25">
        <v>4</v>
      </c>
      <c r="N14" s="25">
        <v>3</v>
      </c>
      <c r="O14" s="25">
        <v>3</v>
      </c>
      <c r="P14" s="40">
        <f t="shared" si="0"/>
        <v>38</v>
      </c>
    </row>
    <row r="15" spans="1:16">
      <c r="A15" s="23">
        <v>7</v>
      </c>
      <c r="B15" s="24" t="s">
        <v>77</v>
      </c>
      <c r="C15" s="24" t="s">
        <v>78</v>
      </c>
      <c r="D15" s="24" t="s">
        <v>33</v>
      </c>
      <c r="E15" s="24" t="s">
        <v>31</v>
      </c>
      <c r="F15" s="25">
        <v>4</v>
      </c>
      <c r="G15" s="25">
        <v>4</v>
      </c>
      <c r="H15" s="25">
        <v>4</v>
      </c>
      <c r="I15" s="25">
        <v>4</v>
      </c>
      <c r="J15" s="25">
        <v>4</v>
      </c>
      <c r="K15" s="25">
        <v>3</v>
      </c>
      <c r="L15" s="25">
        <v>3</v>
      </c>
      <c r="M15" s="25">
        <v>3</v>
      </c>
      <c r="N15" s="25">
        <v>3</v>
      </c>
      <c r="O15" s="25">
        <v>3</v>
      </c>
      <c r="P15" s="40">
        <f t="shared" si="0"/>
        <v>35</v>
      </c>
    </row>
    <row r="16" spans="1:16">
      <c r="A16" s="23">
        <v>8</v>
      </c>
      <c r="B16" s="24" t="s">
        <v>79</v>
      </c>
      <c r="C16" s="24" t="s">
        <v>80</v>
      </c>
      <c r="D16" s="24" t="s">
        <v>33</v>
      </c>
      <c r="E16" s="24" t="s">
        <v>31</v>
      </c>
      <c r="F16" s="25">
        <v>4</v>
      </c>
      <c r="G16" s="25">
        <v>4</v>
      </c>
      <c r="H16" s="25">
        <v>4</v>
      </c>
      <c r="I16" s="25">
        <v>4</v>
      </c>
      <c r="J16" s="25">
        <v>4</v>
      </c>
      <c r="K16" s="25">
        <v>3</v>
      </c>
      <c r="L16" s="25">
        <v>3</v>
      </c>
      <c r="M16" s="25">
        <v>3</v>
      </c>
      <c r="N16" s="25">
        <v>3</v>
      </c>
      <c r="O16" s="25">
        <v>3</v>
      </c>
      <c r="P16" s="40">
        <f t="shared" si="0"/>
        <v>35</v>
      </c>
    </row>
    <row r="17" spans="1:16">
      <c r="A17" s="23">
        <v>9</v>
      </c>
      <c r="B17" s="24" t="s">
        <v>81</v>
      </c>
      <c r="C17" s="24" t="s">
        <v>82</v>
      </c>
      <c r="D17" s="24" t="s">
        <v>33</v>
      </c>
      <c r="E17" s="24" t="s">
        <v>31</v>
      </c>
      <c r="F17" s="25">
        <v>4</v>
      </c>
      <c r="G17" s="25">
        <v>4</v>
      </c>
      <c r="H17" s="25">
        <v>4</v>
      </c>
      <c r="I17" s="25">
        <v>4</v>
      </c>
      <c r="J17" s="25">
        <v>4</v>
      </c>
      <c r="K17" s="25">
        <v>3</v>
      </c>
      <c r="L17" s="25">
        <v>3</v>
      </c>
      <c r="M17" s="25">
        <v>3</v>
      </c>
      <c r="N17" s="25">
        <v>3</v>
      </c>
      <c r="O17" s="25">
        <v>3</v>
      </c>
      <c r="P17" s="40">
        <f t="shared" si="0"/>
        <v>35</v>
      </c>
    </row>
    <row r="18" spans="1:16">
      <c r="A18" s="23">
        <v>10</v>
      </c>
      <c r="B18" s="24" t="s">
        <v>83</v>
      </c>
      <c r="C18" s="24" t="s">
        <v>84</v>
      </c>
      <c r="D18" s="24" t="s">
        <v>33</v>
      </c>
      <c r="E18" s="24" t="s">
        <v>31</v>
      </c>
      <c r="F18" s="25">
        <v>4</v>
      </c>
      <c r="G18" s="25">
        <v>4</v>
      </c>
      <c r="H18" s="25">
        <v>4</v>
      </c>
      <c r="I18" s="25">
        <v>4</v>
      </c>
      <c r="J18" s="25">
        <v>4</v>
      </c>
      <c r="K18" s="25">
        <v>3</v>
      </c>
      <c r="L18" s="25">
        <v>3</v>
      </c>
      <c r="M18" s="25">
        <v>3</v>
      </c>
      <c r="N18" s="25">
        <v>3</v>
      </c>
      <c r="O18" s="25">
        <v>3</v>
      </c>
      <c r="P18" s="40">
        <f t="shared" si="0"/>
        <v>35</v>
      </c>
    </row>
    <row r="19" spans="1:16">
      <c r="A19" s="23">
        <v>11</v>
      </c>
      <c r="B19" s="24" t="s">
        <v>85</v>
      </c>
      <c r="C19" s="24" t="s">
        <v>86</v>
      </c>
      <c r="D19" s="24" t="s">
        <v>33</v>
      </c>
      <c r="E19" s="24" t="s">
        <v>31</v>
      </c>
      <c r="F19" s="25">
        <v>4</v>
      </c>
      <c r="G19" s="25">
        <v>4</v>
      </c>
      <c r="H19" s="25">
        <v>4</v>
      </c>
      <c r="I19" s="25">
        <v>4</v>
      </c>
      <c r="J19" s="25">
        <v>4</v>
      </c>
      <c r="K19" s="25">
        <v>3</v>
      </c>
      <c r="L19" s="25">
        <v>3</v>
      </c>
      <c r="M19" s="25">
        <v>3</v>
      </c>
      <c r="N19" s="25">
        <v>3</v>
      </c>
      <c r="O19" s="25">
        <v>3</v>
      </c>
      <c r="P19" s="40">
        <f t="shared" si="0"/>
        <v>35</v>
      </c>
    </row>
    <row r="20" spans="1:16">
      <c r="A20" s="23">
        <v>12</v>
      </c>
      <c r="B20" s="24" t="s">
        <v>87</v>
      </c>
      <c r="C20" s="24" t="s">
        <v>88</v>
      </c>
      <c r="D20" s="24" t="s">
        <v>33</v>
      </c>
      <c r="E20" s="24" t="s">
        <v>31</v>
      </c>
      <c r="F20" s="25">
        <v>4</v>
      </c>
      <c r="G20" s="25">
        <v>4</v>
      </c>
      <c r="H20" s="25">
        <v>4</v>
      </c>
      <c r="I20" s="25">
        <v>4</v>
      </c>
      <c r="J20" s="25">
        <v>4</v>
      </c>
      <c r="K20" s="25">
        <v>3</v>
      </c>
      <c r="L20" s="25">
        <v>3</v>
      </c>
      <c r="M20" s="25">
        <v>3</v>
      </c>
      <c r="N20" s="25">
        <v>3</v>
      </c>
      <c r="O20" s="25">
        <v>3</v>
      </c>
      <c r="P20" s="40">
        <f t="shared" si="0"/>
        <v>35</v>
      </c>
    </row>
    <row r="21" spans="1:16">
      <c r="A21" s="23">
        <v>13</v>
      </c>
      <c r="B21" s="24" t="s">
        <v>89</v>
      </c>
      <c r="C21" s="24" t="s">
        <v>90</v>
      </c>
      <c r="D21" s="24" t="s">
        <v>33</v>
      </c>
      <c r="E21" s="24" t="s">
        <v>31</v>
      </c>
      <c r="F21" s="25">
        <v>4</v>
      </c>
      <c r="G21" s="25">
        <v>4</v>
      </c>
      <c r="H21" s="25">
        <v>4</v>
      </c>
      <c r="I21" s="25">
        <v>4</v>
      </c>
      <c r="J21" s="25">
        <v>4</v>
      </c>
      <c r="K21" s="25">
        <v>3</v>
      </c>
      <c r="L21" s="25">
        <v>3</v>
      </c>
      <c r="M21" s="25">
        <v>3</v>
      </c>
      <c r="N21" s="25">
        <v>3</v>
      </c>
      <c r="O21" s="25">
        <v>3</v>
      </c>
      <c r="P21" s="40">
        <f t="shared" si="0"/>
        <v>35</v>
      </c>
    </row>
    <row r="22" spans="1:16">
      <c r="A22" s="23">
        <v>14</v>
      </c>
      <c r="B22" s="24">
        <v>39455</v>
      </c>
      <c r="C22" s="24" t="s">
        <v>91</v>
      </c>
      <c r="D22" s="24" t="s">
        <v>33</v>
      </c>
      <c r="E22" s="24" t="s">
        <v>31</v>
      </c>
      <c r="F22" s="25">
        <v>4</v>
      </c>
      <c r="G22" s="25">
        <v>4</v>
      </c>
      <c r="H22" s="25">
        <v>4</v>
      </c>
      <c r="I22" s="25">
        <v>4</v>
      </c>
      <c r="J22" s="25">
        <v>4</v>
      </c>
      <c r="K22" s="25">
        <v>3</v>
      </c>
      <c r="L22" s="25">
        <v>3</v>
      </c>
      <c r="M22" s="25">
        <v>3</v>
      </c>
      <c r="N22" s="25">
        <v>3</v>
      </c>
      <c r="O22" s="25">
        <v>3</v>
      </c>
      <c r="P22" s="40">
        <f t="shared" si="0"/>
        <v>35</v>
      </c>
    </row>
    <row r="23" spans="1:16">
      <c r="A23" s="23">
        <v>15</v>
      </c>
      <c r="B23" s="24" t="s">
        <v>92</v>
      </c>
      <c r="C23" s="24" t="s">
        <v>93</v>
      </c>
      <c r="D23" s="24" t="s">
        <v>33</v>
      </c>
      <c r="E23" s="24" t="s">
        <v>31</v>
      </c>
      <c r="F23" s="25">
        <v>4</v>
      </c>
      <c r="G23" s="25">
        <v>4</v>
      </c>
      <c r="H23" s="25">
        <v>4</v>
      </c>
      <c r="I23" s="25">
        <v>4</v>
      </c>
      <c r="J23" s="25">
        <v>4</v>
      </c>
      <c r="K23" s="25">
        <v>3</v>
      </c>
      <c r="L23" s="25">
        <v>3</v>
      </c>
      <c r="M23" s="25">
        <v>3</v>
      </c>
      <c r="N23" s="25">
        <v>2</v>
      </c>
      <c r="O23" s="25">
        <v>3</v>
      </c>
      <c r="P23" s="40">
        <f t="shared" si="0"/>
        <v>34</v>
      </c>
    </row>
    <row r="24" spans="1:16">
      <c r="A24" s="23">
        <v>16</v>
      </c>
      <c r="B24" s="24" t="s">
        <v>94</v>
      </c>
      <c r="C24" s="24" t="s">
        <v>95</v>
      </c>
      <c r="D24" s="24" t="s">
        <v>33</v>
      </c>
      <c r="E24" s="24" t="s">
        <v>31</v>
      </c>
      <c r="F24" s="25">
        <v>4</v>
      </c>
      <c r="G24" s="25">
        <v>4</v>
      </c>
      <c r="H24" s="25">
        <v>4</v>
      </c>
      <c r="I24" s="25">
        <v>4</v>
      </c>
      <c r="J24" s="25">
        <v>4</v>
      </c>
      <c r="K24" s="25">
        <v>3</v>
      </c>
      <c r="L24" s="25">
        <v>3</v>
      </c>
      <c r="M24" s="25">
        <v>3</v>
      </c>
      <c r="N24" s="25">
        <v>2</v>
      </c>
      <c r="O24" s="25">
        <v>3</v>
      </c>
      <c r="P24" s="40">
        <f t="shared" si="0"/>
        <v>34</v>
      </c>
    </row>
    <row r="25" spans="1:16">
      <c r="A25" s="23">
        <v>17</v>
      </c>
      <c r="B25" s="24" t="s">
        <v>96</v>
      </c>
      <c r="C25" s="24" t="s">
        <v>97</v>
      </c>
      <c r="D25" s="24" t="s">
        <v>33</v>
      </c>
      <c r="E25" s="24" t="s">
        <v>31</v>
      </c>
      <c r="F25" s="25">
        <v>4</v>
      </c>
      <c r="G25" s="25">
        <v>4</v>
      </c>
      <c r="H25" s="25">
        <v>4</v>
      </c>
      <c r="I25" s="25">
        <v>4</v>
      </c>
      <c r="J25" s="25">
        <v>4</v>
      </c>
      <c r="K25" s="25">
        <v>3</v>
      </c>
      <c r="L25" s="25">
        <v>3</v>
      </c>
      <c r="M25" s="25">
        <v>3</v>
      </c>
      <c r="N25" s="25">
        <v>2</v>
      </c>
      <c r="O25" s="25">
        <v>3</v>
      </c>
      <c r="P25" s="40">
        <f t="shared" si="0"/>
        <v>34</v>
      </c>
    </row>
    <row r="26" spans="1:16">
      <c r="A26" s="23">
        <v>18</v>
      </c>
      <c r="B26" s="24" t="s">
        <v>98</v>
      </c>
      <c r="C26" s="24" t="s">
        <v>99</v>
      </c>
      <c r="D26" s="24" t="s">
        <v>33</v>
      </c>
      <c r="E26" s="24" t="s">
        <v>31</v>
      </c>
      <c r="F26" s="25">
        <v>4</v>
      </c>
      <c r="G26" s="25">
        <v>4</v>
      </c>
      <c r="H26" s="25">
        <v>4</v>
      </c>
      <c r="I26" s="25">
        <v>4</v>
      </c>
      <c r="J26" s="25">
        <v>4</v>
      </c>
      <c r="K26" s="25">
        <v>3</v>
      </c>
      <c r="L26" s="25">
        <v>3</v>
      </c>
      <c r="M26" s="25">
        <v>3</v>
      </c>
      <c r="N26" s="25">
        <v>2</v>
      </c>
      <c r="O26" s="25">
        <v>3</v>
      </c>
      <c r="P26" s="40">
        <f t="shared" si="0"/>
        <v>34</v>
      </c>
    </row>
    <row r="27" spans="1:16">
      <c r="A27" s="23">
        <v>19</v>
      </c>
      <c r="B27" s="24">
        <v>14153</v>
      </c>
      <c r="C27" s="24" t="s">
        <v>100</v>
      </c>
      <c r="D27" s="24" t="s">
        <v>33</v>
      </c>
      <c r="E27" s="24" t="s">
        <v>31</v>
      </c>
      <c r="F27" s="25">
        <v>4</v>
      </c>
      <c r="G27" s="25">
        <v>4</v>
      </c>
      <c r="H27" s="25">
        <v>3</v>
      </c>
      <c r="I27" s="25">
        <v>3</v>
      </c>
      <c r="J27" s="25">
        <v>4</v>
      </c>
      <c r="K27" s="25">
        <v>3</v>
      </c>
      <c r="L27" s="25">
        <v>4</v>
      </c>
      <c r="M27" s="25">
        <v>4</v>
      </c>
      <c r="N27" s="25">
        <v>2</v>
      </c>
      <c r="O27" s="25">
        <v>3</v>
      </c>
      <c r="P27" s="40">
        <f t="shared" si="0"/>
        <v>34</v>
      </c>
    </row>
    <row r="28" spans="1:16">
      <c r="A28" s="23">
        <v>20</v>
      </c>
      <c r="B28" s="24" t="s">
        <v>101</v>
      </c>
      <c r="C28" s="24" t="s">
        <v>102</v>
      </c>
      <c r="D28" s="24" t="s">
        <v>33</v>
      </c>
      <c r="E28" s="24" t="s">
        <v>31</v>
      </c>
      <c r="F28" s="25">
        <v>4</v>
      </c>
      <c r="G28" s="25">
        <v>4</v>
      </c>
      <c r="H28" s="25">
        <v>3</v>
      </c>
      <c r="I28" s="25">
        <v>3</v>
      </c>
      <c r="J28" s="25">
        <v>4</v>
      </c>
      <c r="K28" s="25">
        <v>3</v>
      </c>
      <c r="L28" s="25">
        <v>4</v>
      </c>
      <c r="M28" s="25">
        <v>4</v>
      </c>
      <c r="N28" s="25">
        <v>2</v>
      </c>
      <c r="O28" s="25">
        <v>3</v>
      </c>
      <c r="P28" s="40">
        <f t="shared" si="0"/>
        <v>34</v>
      </c>
    </row>
    <row r="29" spans="1:16">
      <c r="A29" s="23">
        <v>21</v>
      </c>
      <c r="B29" s="24" t="s">
        <v>103</v>
      </c>
      <c r="C29" s="24" t="s">
        <v>104</v>
      </c>
      <c r="D29" s="24" t="s">
        <v>33</v>
      </c>
      <c r="E29" s="24" t="s">
        <v>31</v>
      </c>
      <c r="F29" s="25">
        <v>4</v>
      </c>
      <c r="G29" s="25">
        <v>4</v>
      </c>
      <c r="H29" s="25">
        <v>3</v>
      </c>
      <c r="I29" s="25">
        <v>3</v>
      </c>
      <c r="J29" s="25">
        <v>4</v>
      </c>
      <c r="K29" s="25">
        <v>3</v>
      </c>
      <c r="L29" s="25">
        <v>4</v>
      </c>
      <c r="M29" s="25">
        <v>4</v>
      </c>
      <c r="N29" s="25">
        <v>2</v>
      </c>
      <c r="O29" s="25">
        <v>3</v>
      </c>
      <c r="P29" s="40">
        <f t="shared" si="0"/>
        <v>34</v>
      </c>
    </row>
    <row r="30" spans="1:16">
      <c r="A30" s="23">
        <v>22</v>
      </c>
      <c r="B30" s="24" t="s">
        <v>105</v>
      </c>
      <c r="C30" s="24" t="s">
        <v>106</v>
      </c>
      <c r="D30" s="24" t="s">
        <v>33</v>
      </c>
      <c r="E30" s="24" t="s">
        <v>31</v>
      </c>
      <c r="F30" s="25">
        <v>4</v>
      </c>
      <c r="G30" s="25">
        <v>4</v>
      </c>
      <c r="H30" s="25">
        <v>3</v>
      </c>
      <c r="I30" s="25">
        <v>3</v>
      </c>
      <c r="J30" s="25">
        <v>4</v>
      </c>
      <c r="K30" s="25">
        <v>3</v>
      </c>
      <c r="L30" s="25">
        <v>4</v>
      </c>
      <c r="M30" s="25">
        <v>4</v>
      </c>
      <c r="N30" s="25">
        <v>2</v>
      </c>
      <c r="O30" s="25">
        <v>3</v>
      </c>
      <c r="P30" s="40">
        <f t="shared" si="0"/>
        <v>34</v>
      </c>
    </row>
  </sheetData>
  <protectedRanges>
    <protectedRange sqref="B9:C30" name="Range1"/>
  </protectedRanges>
  <mergeCells count="12">
    <mergeCell ref="A1:C1"/>
    <mergeCell ref="B3:C3"/>
    <mergeCell ref="B4:C4"/>
    <mergeCell ref="B5:C5"/>
    <mergeCell ref="B6:C6"/>
    <mergeCell ref="A7:D7"/>
    <mergeCell ref="E7:P7"/>
    <mergeCell ref="D1:D6"/>
    <mergeCell ref="E1:M6"/>
    <mergeCell ref="N1:P2"/>
    <mergeCell ref="N3:P4"/>
    <mergeCell ref="N5:P6"/>
  </mergeCells>
  <conditionalFormatting sqref="B2:C2">
    <cfRule type="iconSet" priority="6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B8"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</conditionalFormatting>
  <conditionalFormatting sqref="L9">
    <cfRule type="iconSet" priority="54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9">
    <cfRule type="iconSet" priority="84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F10">
    <cfRule type="iconSet" priority="85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G10">
    <cfRule type="iconSet" priority="86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H10">
    <cfRule type="iconSet" priority="87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J10">
    <cfRule type="iconSet" priority="90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K10">
    <cfRule type="iconSet" priority="91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10">
    <cfRule type="iconSet" priority="5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M10">
    <cfRule type="iconSet" priority="9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N10">
    <cfRule type="iconSet" priority="88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11">
    <cfRule type="iconSet" priority="55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11">
    <cfRule type="iconSet" priority="8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I13">
    <cfRule type="iconSet" priority="79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13">
    <cfRule type="iconSet" priority="5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M13">
    <cfRule type="iconSet" priority="80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13">
    <cfRule type="iconSet" priority="8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I27">
    <cfRule type="iconSet" priority="100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27">
    <cfRule type="iconSet" priority="56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M27">
    <cfRule type="iconSet" priority="101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N27">
    <cfRule type="iconSet" priority="104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27">
    <cfRule type="iconSet" priority="10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A2:A6">
    <cfRule type="iconSet" priority="68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B3:B6"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7"/>
    <cfRule type="duplicateValues" dxfId="0" priority="66"/>
    <cfRule type="duplicateValues" dxfId="0" priority="65"/>
    <cfRule type="duplicateValues" dxfId="0" priority="64"/>
  </conditionalFormatting>
  <conditionalFormatting sqref="I14:I15">
    <cfRule type="iconSet" priority="75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I28:I30">
    <cfRule type="iconSet" priority="58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14:L15">
    <cfRule type="iconSet" priority="51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28:L30">
    <cfRule type="iconSet" priority="50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M14:M15">
    <cfRule type="iconSet" priority="76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M28:M30">
    <cfRule type="iconSet" priority="59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N28:N30">
    <cfRule type="iconSet" priority="6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14:O15">
    <cfRule type="iconSet" priority="78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28:O30">
    <cfRule type="iconSet" priority="60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P9:P30">
    <cfRule type="dataBar" priority="74">
      <dataBar>
        <cfvo type="num" val="0"/>
        <cfvo type="num" val="40"/>
        <color rgb="FF7030A0"/>
      </dataBar>
      <extLst>
        <ext xmlns:x14="http://schemas.microsoft.com/office/spreadsheetml/2009/9/main" uri="{B025F937-C7B1-47D3-B67F-A62EFF666E3E}">
          <x14:id>{16302fb7-be05-4b28-b4d7-0c1b62db44aa}</x14:id>
        </ext>
      </extLst>
    </cfRule>
  </conditionalFormatting>
  <conditionalFormatting sqref="F9:K9 M9:N9">
    <cfRule type="iconSet" priority="98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I10 O10">
    <cfRule type="iconSet" priority="89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F11:K11 M11:N11">
    <cfRule type="iconSet" priority="99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N16:N26 F16:H26 J16:K26 J12:K12 F12:H12 N12">
    <cfRule type="iconSet" priority="108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I16:I26 I12">
    <cfRule type="iconSet" priority="105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L16:L26 L12">
    <cfRule type="iconSet" priority="57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M16:M26 M12">
    <cfRule type="iconSet" priority="106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O16:O26 O12">
    <cfRule type="iconSet" priority="107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N13 J13:K13 F13:H13">
    <cfRule type="iconSet" priority="81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N14:N15 F14:H15 J14:K15">
    <cfRule type="iconSet" priority="77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J27:K27 F27:H27">
    <cfRule type="iconSet" priority="10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J28:K30 F28:H30">
    <cfRule type="iconSet" priority="61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dataValidations count="1">
    <dataValidation type="whole" operator="between" allowBlank="1" showInputMessage="1" showErrorMessage="1" error="PLEASE SELECT  0 to 4" promptTitle="Score Between 0 to 4" prompt="To Score Skill Level Kindly See Skill Level Refrence Sheet" sqref="B2 A2:A6 C2:C6 F9:O30" errorStyle="information">
      <formula1>0</formula1>
      <formula2>4</formula2>
    </dataValidation>
  </dataValidations>
  <printOptions horizontalCentered="1" verticalCentered="1"/>
  <pageMargins left="0" right="0" top="0" bottom="0" header="0" footer="0"/>
  <pageSetup paperSize="9" scale="83" orientation="landscape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302fb7-be05-4b28-b4d7-0c1b62db44aa}">
            <x14:dataBar minLength="0" maxLength="100" gradient="0">
              <x14:cfvo type="num">
                <xm:f>0</xm:f>
              </x14:cfvo>
              <x14:cfvo type="num">
                <xm:f>40</xm:f>
              </x14:cfvo>
              <x14:negativeFillColor rgb="FFFF0000"/>
              <x14:axisColor rgb="FF000000"/>
            </x14:dataBar>
          </x14:cfRule>
          <xm:sqref>P9:P30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ITR-FATP</vt:lpstr>
      <vt:lpstr>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2015-06-05T18:17:00Z</dcterms:created>
  <cp:lastPrinted>2026-02-18T07:27:00Z</cp:lastPrinted>
  <dcterms:modified xsi:type="dcterms:W3CDTF">2026-10-15T13:13:13Z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1033-11.2.0.10330</vt:lpwstr>
  </property>
  <property fmtid="{D5CDD505-2E9C-101B-9397-08002B2CF9AE}" pid="3" name="ICV">
    <vt:lpwstr>53A9D40F9592495D94C93B7D816D581E</vt:lpwstr>
  </property>
</Properties>
</file>